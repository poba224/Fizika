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" sheetId="1" r:id="rId1"/>
    <sheet name="2F" sheetId="2" r:id="rId2"/>
    <sheet name="3F" sheetId="3" r:id="rId3"/>
    <sheet name="Összesítés" sheetId="4" r:id="rId4"/>
  </sheets>
  <definedNames>
    <definedName name="_xlnm.Print_Area" localSheetId="2">'2F'!$A$1:$I$36</definedName>
    <definedName name="_xlnm.Print_Area" localSheetId="3">'3F'!$A$1:$I$36</definedName>
    <definedName name="_xlnm.Print_Area" localSheetId="1">F!$A$1:$I$36</definedName>
    <definedName name="_xlnm.Print_Area" localSheetId="0">Összesítés!$A$1:$H$38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3" authorId="0">
      <text>
        <r>
          <rPr>
            <sz val="8"/>
            <color indexed="81"/>
            <rFont val="Tahoma"/>
            <family val="2"/>
          </rPr>
          <t>Módosítható bemenet. A kilövési és becsapódási szint különbsége; a megadott talajszinti magasságot használjuk.</t>
        </r>
      </text>
    </comment>
  </commentList>
</comments>
</file>

<file path=xl/sharedStrings.xml><?xml version="1.0" encoding="utf-8"?>
<sst xmlns="http://schemas.openxmlformats.org/spreadsheetml/2006/main" count="129" uniqueCount="32">
  <si>
    <t>Hajítások kezdősebességének meghatározása</t>
  </si>
  <si>
    <t>h (m)</t>
  </si>
  <si>
    <t>g (m/s²)</t>
  </si>
  <si>
    <t>A golyó magassága a talajszinthez képest (cm):</t>
  </si>
  <si>
    <t>Az erő értéke: F</t>
  </si>
  <si>
    <t>Sorszám</t>
  </si>
  <si>
    <t>0°</t>
  </si>
  <si>
    <t>d(cm)</t>
  </si>
  <si>
    <t>Δd(cm)</t>
  </si>
  <si>
    <t>30°</t>
  </si>
  <si>
    <t>45°</t>
  </si>
  <si>
    <t>60°</t>
  </si>
  <si>
    <t>d: távolság a papír közelebbi széléig. Δd: innen a becsapódásig. R = (d + Δd)/100 m. A távolságok centiméterben szerepelnek.</t>
  </si>
  <si>
    <t>Származtatott adatok – R (m)</t>
  </si>
  <si>
    <t>Átlagos R (m)</t>
  </si>
  <si>
    <t>μ(R) (m)</t>
  </si>
  <si>
    <t>μ(R) – segéd (m)</t>
  </si>
  <si>
    <t>v₀ (m/s)</t>
  </si>
  <si>
    <t>μ(v₀) (m/s)</t>
  </si>
  <si>
    <t>Gauss-féle középhiba: μ = √[Σ(Ri − R̄)²/n], n = 10 (jegyzet, 22. oldal). A sebesség középhibája a távolság hibájából terjed; h és α hibája nincs megadva.</t>
  </si>
  <si>
    <t>F</t>
  </si>
  <si>
    <t>d+Δdátlag (m)</t>
  </si>
  <si>
    <t>Az erő értéke: 2F</t>
  </si>
  <si>
    <t>2F</t>
  </si>
  <si>
    <t>Az erő értéke: 3F</t>
  </si>
  <si>
    <t>3F</t>
  </si>
  <si>
    <t>Minden eredmény tíz mérésből készült. μ: a jegyzet szerinti Gauss-féle középhiba, n nevezővel. A relatív hiba μ(R)/R̄ × 100%. A köztes eredményeket nem kerekítettem.</t>
  </si>
  <si>
    <t>Erő</t>
  </si>
  <si>
    <t>α (°)</t>
  </si>
  <si>
    <t>R̄ (m)</t>
  </si>
  <si>
    <t>Relatív hiba (%)</t>
  </si>
  <si>
    <t>Forrás: FIZIKA gyakorlatok közlekedésmérnököknek, 2019, 3. gyakorlat. A számításban h a kilövési és becsapódási szint különbsége. F, 2F, 3F: a rugós kilövő beállításai.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</si>
</sst>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"/>
  </numFmts>
  <fonts count="5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0"/>
      <color rgb="FF174A7E"/>
      <name val="Arial Unicode MS"/>
      <family val="2"/>
    </font>
    <font>
      <b/>
      <sz val="10"/>
      <color theme="1"/>
      <name val="Arial Unicode MS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1F6FA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165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6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4.7109375" customWidth="1"/>
    <col min="2" max="9" width="10.7109375" customWidth="1"/>
  </cols>
  <sheetData>
    <row r="1" spans="1:9">
      <c r="A1" s="1" t="s">
        <v>3</v>
      </c>
      <c r="B1" s="1"/>
      <c r="C1" s="1"/>
      <c r="D1" s="1"/>
      <c r="E1" s="1"/>
      <c r="F1" s="1"/>
      <c r="G1" s="1"/>
      <c r="H1" s="1"/>
      <c r="I1" s="2">
        <f>'Összesítés'!$B$3*100</f>
        <v>24.5</v>
      </c>
    </row>
    <row r="2" spans="1:9">
      <c r="A2" s="1" t="s">
        <v>4</v>
      </c>
      <c r="B2" s="3" t="s">
        <v>6</v>
      </c>
      <c r="C2" s="3"/>
      <c r="D2" s="3" t="s">
        <v>9</v>
      </c>
      <c r="E2" s="3"/>
      <c r="F2" s="3" t="s">
        <v>10</v>
      </c>
      <c r="G2" s="3"/>
      <c r="H2" s="3" t="s">
        <v>11</v>
      </c>
      <c r="I2" s="3"/>
    </row>
    <row r="3" spans="1:9">
      <c r="A3" s="4" t="s">
        <v>5</v>
      </c>
      <c r="B3" s="4" t="s">
        <v>7</v>
      </c>
      <c r="C3" s="4" t="s">
        <v>8</v>
      </c>
      <c r="D3" s="4" t="s">
        <v>7</v>
      </c>
      <c r="E3" s="4" t="s">
        <v>8</v>
      </c>
      <c r="F3" s="4" t="s">
        <v>7</v>
      </c>
      <c r="G3" s="4" t="s">
        <v>8</v>
      </c>
      <c r="H3" s="4" t="s">
        <v>7</v>
      </c>
      <c r="I3" s="4" t="s">
        <v>8</v>
      </c>
    </row>
    <row r="4" spans="1:9" ht="22" customHeight="1">
      <c r="A4" s="4">
        <v>1</v>
      </c>
      <c r="B4" s="2">
        <v>53.6</v>
      </c>
      <c r="C4" s="2">
        <v>13.5</v>
      </c>
      <c r="D4" s="2">
        <v>98.90000000000001</v>
      </c>
      <c r="E4" s="2">
        <v>3.2</v>
      </c>
      <c r="F4" s="2">
        <v>84.90000000000001</v>
      </c>
      <c r="G4" s="2">
        <v>7.6</v>
      </c>
      <c r="H4" s="2">
        <v>61.5</v>
      </c>
      <c r="I4" s="2">
        <v>5.6</v>
      </c>
    </row>
    <row r="5" spans="1:9" ht="22" customHeight="1">
      <c r="A5" s="4">
        <v>2</v>
      </c>
      <c r="B5" s="2"/>
      <c r="C5" s="2">
        <v>16.6</v>
      </c>
      <c r="D5" s="2"/>
      <c r="E5" s="2">
        <v>4.5</v>
      </c>
      <c r="F5" s="2"/>
      <c r="G5" s="2">
        <v>9</v>
      </c>
      <c r="H5" s="2"/>
      <c r="I5" s="2">
        <v>6.4</v>
      </c>
    </row>
    <row r="6" spans="1:9" ht="22" customHeight="1">
      <c r="A6" s="4">
        <v>3</v>
      </c>
      <c r="B6" s="2"/>
      <c r="C6" s="2">
        <v>17.9</v>
      </c>
      <c r="D6" s="2"/>
      <c r="E6" s="2">
        <v>6</v>
      </c>
      <c r="F6" s="2"/>
      <c r="G6" s="2">
        <v>9.1</v>
      </c>
      <c r="H6" s="2"/>
      <c r="I6" s="2">
        <v>8.1</v>
      </c>
    </row>
    <row r="7" spans="1:9" ht="22" customHeight="1">
      <c r="A7" s="4">
        <v>4</v>
      </c>
      <c r="B7" s="2"/>
      <c r="C7" s="2">
        <v>18.9</v>
      </c>
      <c r="D7" s="2"/>
      <c r="E7" s="2">
        <v>7</v>
      </c>
      <c r="F7" s="2"/>
      <c r="G7" s="2">
        <v>11.9</v>
      </c>
      <c r="H7" s="2"/>
      <c r="I7" s="2">
        <v>8.699999999999999</v>
      </c>
    </row>
    <row r="8" spans="1:9" ht="22" customHeight="1">
      <c r="A8" s="4">
        <v>5</v>
      </c>
      <c r="B8" s="2"/>
      <c r="C8" s="2">
        <v>18.8</v>
      </c>
      <c r="D8" s="2"/>
      <c r="E8" s="2">
        <v>8.1</v>
      </c>
      <c r="F8" s="2"/>
      <c r="G8" s="2">
        <v>12.3</v>
      </c>
      <c r="H8" s="2"/>
      <c r="I8" s="2">
        <v>9.4</v>
      </c>
    </row>
    <row r="9" spans="1:9" ht="22" customHeight="1">
      <c r="A9" s="4">
        <v>6</v>
      </c>
      <c r="B9" s="2"/>
      <c r="C9" s="2">
        <v>20.2</v>
      </c>
      <c r="D9" s="2"/>
      <c r="E9" s="2">
        <v>9.1</v>
      </c>
      <c r="F9" s="2"/>
      <c r="G9" s="2">
        <v>12.9</v>
      </c>
      <c r="H9" s="2"/>
      <c r="I9" s="2">
        <v>9.5</v>
      </c>
    </row>
    <row r="10" spans="1:9" ht="22" customHeight="1">
      <c r="A10" s="4">
        <v>7</v>
      </c>
      <c r="B10" s="2"/>
      <c r="C10" s="2">
        <v>21.3</v>
      </c>
      <c r="D10" s="2"/>
      <c r="E10" s="2">
        <v>9</v>
      </c>
      <c r="F10" s="2"/>
      <c r="G10" s="2">
        <v>12.5</v>
      </c>
      <c r="H10" s="2"/>
      <c r="I10" s="2">
        <v>10.2</v>
      </c>
    </row>
    <row r="11" spans="1:9" ht="22" customHeight="1">
      <c r="A11" s="4">
        <v>8</v>
      </c>
      <c r="B11" s="2"/>
      <c r="C11" s="2">
        <v>22</v>
      </c>
      <c r="D11" s="2"/>
      <c r="E11" s="2">
        <v>9.800000000000001</v>
      </c>
      <c r="F11" s="2"/>
      <c r="G11" s="2">
        <v>12.5</v>
      </c>
      <c r="H11" s="2"/>
      <c r="I11" s="2">
        <v>12.4</v>
      </c>
    </row>
    <row r="12" spans="1:9" ht="22" customHeight="1">
      <c r="A12" s="4">
        <v>9</v>
      </c>
      <c r="B12" s="2"/>
      <c r="C12" s="2">
        <v>24.8</v>
      </c>
      <c r="D12" s="2"/>
      <c r="E12" s="2">
        <v>13.1</v>
      </c>
      <c r="F12" s="2"/>
      <c r="G12" s="2">
        <v>12.5</v>
      </c>
      <c r="H12" s="2"/>
      <c r="I12" s="2">
        <v>13.2</v>
      </c>
    </row>
    <row r="13" spans="1:9" ht="22" customHeight="1">
      <c r="A13" s="4">
        <v>10</v>
      </c>
      <c r="B13" s="2"/>
      <c r="C13" s="2">
        <v>24.3</v>
      </c>
      <c r="D13" s="2"/>
      <c r="E13" s="2">
        <v>1</v>
      </c>
      <c r="F13" s="2"/>
      <c r="G13" s="2">
        <v>14.1</v>
      </c>
      <c r="H13" s="2"/>
      <c r="I13" s="2">
        <v>12.9</v>
      </c>
    </row>
    <row r="15" spans="1:9">
      <c r="A15" s="5" t="s">
        <v>12</v>
      </c>
      <c r="B15" s="5"/>
      <c r="C15" s="5"/>
      <c r="D15" s="5"/>
      <c r="E15" s="5"/>
      <c r="F15" s="5"/>
      <c r="G15" s="5"/>
      <c r="H15" s="5"/>
      <c r="I15" s="5"/>
    </row>
    <row r="16" spans="1:9">
      <c r="A16" s="5"/>
      <c r="B16" s="5"/>
      <c r="C16" s="5"/>
      <c r="D16" s="5"/>
      <c r="E16" s="5"/>
      <c r="F16" s="5"/>
      <c r="G16" s="5"/>
      <c r="H16" s="5"/>
      <c r="I16" s="5"/>
    </row>
    <row r="18" spans="1:5">
      <c r="A18" s="3" t="s">
        <v>13</v>
      </c>
      <c r="B18" s="3"/>
      <c r="C18" s="3"/>
      <c r="D18" s="3"/>
      <c r="E18" s="3"/>
    </row>
    <row r="19" spans="1:5">
      <c r="A19" s="4" t="s">
        <v>5</v>
      </c>
      <c r="B19" s="3" t="s">
        <v>6</v>
      </c>
      <c r="C19" s="3" t="s">
        <v>9</v>
      </c>
      <c r="D19" s="3" t="s">
        <v>10</v>
      </c>
      <c r="E19" s="3" t="s">
        <v>11</v>
      </c>
    </row>
    <row r="20" spans="1:5">
      <c r="A20" s="4">
        <v>1</v>
      </c>
      <c r="B20" s="6">
        <f>($B$4+C4)/100</f>
        <v>0.6709999999999999</v>
      </c>
      <c r="C20" s="6">
        <f>($D$4+E4)/100</f>
        <v>1.0210000000000001</v>
      </c>
      <c r="D20" s="6">
        <f>($F$4+G4)/100</f>
        <v>0.925</v>
      </c>
      <c r="E20" s="6">
        <f>($H$4+I4)/100</f>
        <v>0.6709999999999999</v>
      </c>
    </row>
    <row r="21" spans="1:5">
      <c r="A21" s="4">
        <v>2</v>
      </c>
      <c r="B21" s="6">
        <f>($B$4+C5)/100</f>
        <v>0.7020000000000001</v>
      </c>
      <c r="C21" s="6">
        <f>($D$4+E5)/100</f>
        <v>1.034</v>
      </c>
      <c r="D21" s="6">
        <f>($F$4+G5)/100</f>
        <v>0.9390000000000001</v>
      </c>
      <c r="E21" s="6">
        <f>($H$4+I5)/100</f>
        <v>0.679</v>
      </c>
    </row>
    <row r="22" spans="1:5">
      <c r="A22" s="4">
        <v>3</v>
      </c>
      <c r="B22" s="6">
        <f>($B$4+C6)/100</f>
        <v>0.715</v>
      </c>
      <c r="C22" s="6">
        <f>($D$4+E6)/100</f>
        <v>1.0490000000000002</v>
      </c>
      <c r="D22" s="6">
        <f>($F$4+G6)/100</f>
        <v>0.94</v>
      </c>
      <c r="E22" s="6">
        <f>($H$4+I6)/100</f>
        <v>0.696</v>
      </c>
    </row>
    <row r="23" spans="1:5">
      <c r="A23" s="4">
        <v>4</v>
      </c>
      <c r="B23" s="6">
        <f>($B$4+C7)/100</f>
        <v>0.725</v>
      </c>
      <c r="C23" s="6">
        <f>($D$4+E7)/100</f>
        <v>1.0590000000000002</v>
      </c>
      <c r="D23" s="6">
        <f>($F$4+G7)/100</f>
        <v>0.9680000000000001</v>
      </c>
      <c r="E23" s="6">
        <f>($H$4+I7)/100</f>
        <v>0.7020000000000001</v>
      </c>
    </row>
    <row r="24" spans="1:5">
      <c r="A24" s="4">
        <v>5</v>
      </c>
      <c r="B24" s="6">
        <f>($B$4+C8)/100</f>
        <v>0.7240000000000001</v>
      </c>
      <c r="C24" s="6">
        <f>($D$4+E8)/100</f>
        <v>1.07</v>
      </c>
      <c r="D24" s="6">
        <f>($F$4+G8)/100</f>
        <v>0.972</v>
      </c>
      <c r="E24" s="6">
        <f>($H$4+I8)/100</f>
        <v>0.7090000000000001</v>
      </c>
    </row>
    <row r="25" spans="1:5">
      <c r="A25" s="4">
        <v>6</v>
      </c>
      <c r="B25" s="6">
        <f>($B$4+C9)/100</f>
        <v>0.738</v>
      </c>
      <c r="C25" s="6">
        <f>($D$4+E9)/100</f>
        <v>1.08</v>
      </c>
      <c r="D25" s="6">
        <f>($F$4+G9)/100</f>
        <v>0.9780000000000001</v>
      </c>
      <c r="E25" s="6">
        <f>($H$4+I9)/100</f>
        <v>0.71</v>
      </c>
    </row>
    <row r="26" spans="1:5">
      <c r="A26" s="4">
        <v>7</v>
      </c>
      <c r="B26" s="6">
        <f>($B$4+C10)/100</f>
        <v>0.7490000000000001</v>
      </c>
      <c r="C26" s="6">
        <f>($D$4+E10)/100</f>
        <v>1.079</v>
      </c>
      <c r="D26" s="6">
        <f>($F$4+G10)/100</f>
        <v>0.9740000000000001</v>
      </c>
      <c r="E26" s="6">
        <f>($H$4+I10)/100</f>
        <v>0.7170000000000001</v>
      </c>
    </row>
    <row r="27" spans="1:5">
      <c r="A27" s="4">
        <v>8</v>
      </c>
      <c r="B27" s="6">
        <f>($B$4+C11)/100</f>
        <v>0.7559999999999999</v>
      </c>
      <c r="C27" s="6">
        <f>($D$4+E11)/100</f>
        <v>1.087</v>
      </c>
      <c r="D27" s="6">
        <f>($F$4+G11)/100</f>
        <v>0.9740000000000001</v>
      </c>
      <c r="E27" s="6">
        <f>($H$4+I11)/100</f>
        <v>0.7390000000000001</v>
      </c>
    </row>
    <row r="28" spans="1:5">
      <c r="A28" s="4">
        <v>9</v>
      </c>
      <c r="B28" s="6">
        <f>($B$4+C12)/100</f>
        <v>0.784</v>
      </c>
      <c r="C28" s="6">
        <f>($D$4+E12)/100</f>
        <v>1.12</v>
      </c>
      <c r="D28" s="6">
        <f>($F$4+G12)/100</f>
        <v>0.9740000000000001</v>
      </c>
      <c r="E28" s="6">
        <f>($H$4+I12)/100</f>
        <v>0.747</v>
      </c>
    </row>
    <row r="29" spans="1:5">
      <c r="A29" s="4">
        <v>10</v>
      </c>
      <c r="B29" s="6">
        <f>($B$4+C13)/100</f>
        <v>0.779</v>
      </c>
      <c r="C29" s="6">
        <f>($D$4+E13)/100</f>
        <v>0.9990000000000001</v>
      </c>
      <c r="D29" s="6">
        <f>($F$4+G13)/100</f>
        <v>0.99</v>
      </c>
      <c r="E29" s="6">
        <f>($H$4+I13)/100</f>
        <v>0.7440000000000001</v>
      </c>
    </row>
    <row r="30" spans="1:5">
      <c r="A30" s="1" t="s">
        <v>14</v>
      </c>
      <c r="B30" s="7">
        <f>AVERAGE(B20:B29)</f>
        <v>0.7343</v>
      </c>
      <c r="C30" s="7">
        <f>AVERAGE(C20:C29)</f>
        <v>1.0598</v>
      </c>
      <c r="D30" s="7">
        <f>AVERAGE(D20:D29)</f>
        <v>0.9634</v>
      </c>
      <c r="E30" s="7">
        <f>AVERAGE(E20:E29)</f>
        <v>0.7114</v>
      </c>
    </row>
    <row r="31" spans="1:5">
      <c r="A31" s="1" t="s">
        <v>15</v>
      </c>
      <c r="B31" s="6">
        <f>STDEVP(B20:B29)</f>
        <v>0.03283915346046546</v>
      </c>
      <c r="C31" s="6">
        <f>STDEVP(C20:C29)</f>
        <v>0.0335105953393848</v>
      </c>
      <c r="D31" s="6">
        <f>STDEVP(D20:D29)</f>
        <v>0.019925862591115107</v>
      </c>
      <c r="E31" s="6">
        <f>STDEVP(E20:E29)</f>
        <v>0.024775794639123112</v>
      </c>
    </row>
    <row r="32" spans="1:5" hidden="1">
      <c r="A32" s="1" t="s">
        <v>16</v>
      </c>
      <c r="B32" s="7">
        <f>B31</f>
        <v>0.03283915346046546</v>
      </c>
      <c r="C32" s="7">
        <f>C31</f>
        <v>0.0335105953393848</v>
      </c>
      <c r="D32" s="7">
        <f>D31</f>
        <v>0.019925862591115107</v>
      </c>
      <c r="E32" s="7">
        <f>E31</f>
        <v>0.024775794639123112</v>
      </c>
    </row>
    <row r="33" spans="1:9">
      <c r="A33" s="1" t="s">
        <v>17</v>
      </c>
      <c r="B33" s="8">
        <f>B30*SQRT('Összesítés'!$B$4/(2*('Összesítés'!$B$3*COS(RADIANS(0))^2+B30*SIN(RADIANS(0))*COS(RADIANS(0)))))</f>
        <v>3.28556445835415</v>
      </c>
      <c r="C33" s="7">
        <f>C30*SQRT('Összesítés'!$B$4/(2*('Összesítés'!$B$3*COS(RADIANS(30))^2+C30*SIN(RADIANS(30))*COS(RADIANS(30)))))</f>
        <v>2.927883867025187</v>
      </c>
      <c r="D33" s="7">
        <f>D30*SQRT('Összesítés'!$B$4/(2*('Összesítés'!$B$3*COS(RADIANS(45))^2+D30*SIN(RADIANS(45))*COS(RADIANS(45)))))</f>
        <v>2.7449585282382256</v>
      </c>
      <c r="E33" s="7">
        <f>E30*SQRT('Összesítés'!$B$4/(2*('Összesítés'!$B$3*COS(RADIANS(60))^2+E30*SIN(RADIANS(60))*COS(RADIANS(60)))))</f>
        <v>2.592665651504865</v>
      </c>
    </row>
    <row r="34" spans="1:9">
      <c r="A34" s="1" t="s">
        <v>18</v>
      </c>
      <c r="B34" s="8">
        <f>B33*(1/B30-SIN(RADIANS(0))*COS(RADIANS(0))/(2*('Összesítés'!$B$3*COS(RADIANS(0))^2+B30*SIN(RADIANS(0))*COS(RADIANS(0)))))*B32</f>
        <v>0.1469360689801757</v>
      </c>
      <c r="C34" s="7">
        <f>C33*(1/C30-SIN(RADIANS(30))*COS(RADIANS(30))/(2*('Összesítés'!$B$3*COS(RADIANS(30))^2+C30*SIN(RADIANS(30))*COS(RADIANS(30)))))*C32</f>
        <v>0.05952464923770046</v>
      </c>
      <c r="D34" s="7">
        <f>D33*(1/D30-SIN(RADIANS(45))*COS(RADIANS(45))/(2*('Összesítés'!$B$3*COS(RADIANS(45))^2+D30*SIN(RADIANS(45))*COS(RADIANS(45)))))*D32</f>
        <v>0.034142138525114434</v>
      </c>
      <c r="E34" s="7">
        <f>E33*(1/E30-SIN(RADIANS(60))*COS(RADIANS(60))/(2*('Összesítés'!$B$3*COS(RADIANS(60))^2+E30*SIN(RADIANS(60))*COS(RADIANS(60)))))*E32</f>
        <v>0.05263508553587795</v>
      </c>
    </row>
    <row r="35" spans="1:9">
      <c r="A35" s="5" t="s">
        <v>19</v>
      </c>
      <c r="B35" s="5"/>
      <c r="C35" s="5"/>
      <c r="D35" s="5"/>
      <c r="E35" s="5"/>
      <c r="F35" s="5"/>
      <c r="G35" s="5"/>
      <c r="H35" s="5"/>
      <c r="I35" s="5"/>
    </row>
    <row r="36" spans="1:9">
      <c r="A36" s="5"/>
      <c r="B36" s="5"/>
      <c r="C36" s="5"/>
      <c r="D36" s="5"/>
      <c r="E36" s="5"/>
      <c r="F36" s="5"/>
      <c r="G36" s="5"/>
      <c r="H36" s="5"/>
      <c r="I36" s="5"/>
    </row>
  </sheetData>
  <mergeCells count="12">
    <mergeCell ref="A1:H1"/>
    <mergeCell ref="B2:C2"/>
    <mergeCell ref="B4:B13"/>
    <mergeCell ref="D2:E2"/>
    <mergeCell ref="D4:D13"/>
    <mergeCell ref="F2:G2"/>
    <mergeCell ref="F4:F13"/>
    <mergeCell ref="H2:I2"/>
    <mergeCell ref="H4:H13"/>
    <mergeCell ref="A15:I16"/>
    <mergeCell ref="A18:E18"/>
    <mergeCell ref="A35:I36"/>
  </mergeCells>
  <pageMargins left="0.3" right="0.3" top="0.3" bottom="0.3" header="0.3" footer="0.3"/>
  <pageSetup paperSize="9" orientation="landscape"/>
  <headerFooter>
    <oddFooter>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6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4.7109375" customWidth="1"/>
    <col min="2" max="9" width="10.7109375" customWidth="1"/>
  </cols>
  <sheetData>
    <row r="1" spans="1:9">
      <c r="A1" s="1" t="s">
        <v>3</v>
      </c>
      <c r="B1" s="1"/>
      <c r="C1" s="1"/>
      <c r="D1" s="1"/>
      <c r="E1" s="1"/>
      <c r="F1" s="1"/>
      <c r="G1" s="1"/>
      <c r="H1" s="1"/>
      <c r="I1" s="2">
        <f>'Összesítés'!$B$3*100</f>
        <v>24.5</v>
      </c>
    </row>
    <row r="2" spans="1:9">
      <c r="A2" s="1" t="s">
        <v>22</v>
      </c>
      <c r="B2" s="3" t="s">
        <v>6</v>
      </c>
      <c r="C2" s="3"/>
      <c r="D2" s="3" t="s">
        <v>9</v>
      </c>
      <c r="E2" s="3"/>
      <c r="F2" s="3" t="s">
        <v>10</v>
      </c>
      <c r="G2" s="3"/>
      <c r="H2" s="3" t="s">
        <v>11</v>
      </c>
      <c r="I2" s="3"/>
    </row>
    <row r="3" spans="1:9">
      <c r="A3" s="4" t="s">
        <v>5</v>
      </c>
      <c r="B3" s="4" t="s">
        <v>7</v>
      </c>
      <c r="C3" s="4" t="s">
        <v>8</v>
      </c>
      <c r="D3" s="4" t="s">
        <v>7</v>
      </c>
      <c r="E3" s="4" t="s">
        <v>8</v>
      </c>
      <c r="F3" s="4" t="s">
        <v>7</v>
      </c>
      <c r="G3" s="4" t="s">
        <v>8</v>
      </c>
      <c r="H3" s="4" t="s">
        <v>7</v>
      </c>
      <c r="I3" s="4" t="s">
        <v>8</v>
      </c>
    </row>
    <row r="4" spans="1:9" ht="22" customHeight="1">
      <c r="A4" s="4">
        <v>1</v>
      </c>
      <c r="B4" s="2">
        <v>94.09999999999999</v>
      </c>
      <c r="C4" s="2">
        <v>3.2</v>
      </c>
      <c r="D4" s="2">
        <v>141.9</v>
      </c>
      <c r="E4" s="2">
        <v>6.5</v>
      </c>
      <c r="F4" s="2">
        <v>148.9</v>
      </c>
      <c r="G4" s="2">
        <v>5.9</v>
      </c>
      <c r="H4" s="2">
        <v>118.1</v>
      </c>
      <c r="I4" s="2">
        <v>4.1</v>
      </c>
    </row>
    <row r="5" spans="1:9" ht="22" customHeight="1">
      <c r="A5" s="4">
        <v>2</v>
      </c>
      <c r="B5" s="2"/>
      <c r="C5" s="2">
        <v>7.3</v>
      </c>
      <c r="D5" s="2"/>
      <c r="E5" s="2">
        <v>5.3</v>
      </c>
      <c r="F5" s="2"/>
      <c r="G5" s="2">
        <v>7.1</v>
      </c>
      <c r="H5" s="2"/>
      <c r="I5" s="2">
        <v>6.1</v>
      </c>
    </row>
    <row r="6" spans="1:9" ht="22" customHeight="1">
      <c r="A6" s="4">
        <v>3</v>
      </c>
      <c r="B6" s="2"/>
      <c r="C6" s="2">
        <v>7.3</v>
      </c>
      <c r="D6" s="2"/>
      <c r="E6" s="2">
        <v>10.1</v>
      </c>
      <c r="F6" s="2"/>
      <c r="G6" s="2">
        <v>7.4</v>
      </c>
      <c r="H6" s="2"/>
      <c r="I6" s="2">
        <v>9.9</v>
      </c>
    </row>
    <row r="7" spans="1:9" ht="22" customHeight="1">
      <c r="A7" s="4">
        <v>4</v>
      </c>
      <c r="B7" s="2"/>
      <c r="C7" s="2">
        <v>7.9</v>
      </c>
      <c r="D7" s="2"/>
      <c r="E7" s="2">
        <v>14.4</v>
      </c>
      <c r="F7" s="2"/>
      <c r="G7" s="2">
        <v>9.9</v>
      </c>
      <c r="H7" s="2"/>
      <c r="I7" s="2">
        <v>12.1</v>
      </c>
    </row>
    <row r="8" spans="1:9" ht="22" customHeight="1">
      <c r="A8" s="4">
        <v>5</v>
      </c>
      <c r="B8" s="2"/>
      <c r="C8" s="2">
        <v>8.9</v>
      </c>
      <c r="D8" s="2"/>
      <c r="E8" s="2">
        <v>15.6</v>
      </c>
      <c r="F8" s="2"/>
      <c r="G8" s="2">
        <v>11.1</v>
      </c>
      <c r="H8" s="2"/>
      <c r="I8" s="2">
        <v>18.6</v>
      </c>
    </row>
    <row r="9" spans="1:9" ht="22" customHeight="1">
      <c r="A9" s="4">
        <v>6</v>
      </c>
      <c r="B9" s="2"/>
      <c r="C9" s="2">
        <v>8.699999999999999</v>
      </c>
      <c r="D9" s="2"/>
      <c r="E9" s="2">
        <v>16</v>
      </c>
      <c r="F9" s="2"/>
      <c r="G9" s="2">
        <v>11.2</v>
      </c>
      <c r="H9" s="2"/>
      <c r="I9" s="2">
        <v>25</v>
      </c>
    </row>
    <row r="10" spans="1:9" ht="22" customHeight="1">
      <c r="A10" s="4">
        <v>7</v>
      </c>
      <c r="B10" s="2"/>
      <c r="C10" s="2">
        <v>11</v>
      </c>
      <c r="D10" s="2"/>
      <c r="E10" s="2">
        <v>17</v>
      </c>
      <c r="F10" s="2"/>
      <c r="G10" s="2">
        <v>13.2</v>
      </c>
      <c r="H10" s="2"/>
      <c r="I10" s="2">
        <v>26.1</v>
      </c>
    </row>
    <row r="11" spans="1:9" ht="22" customHeight="1">
      <c r="A11" s="4">
        <v>8</v>
      </c>
      <c r="B11" s="2"/>
      <c r="C11" s="2">
        <v>11</v>
      </c>
      <c r="D11" s="2"/>
      <c r="E11" s="2">
        <v>19.9</v>
      </c>
      <c r="F11" s="2"/>
      <c r="G11" s="2">
        <v>15.4</v>
      </c>
      <c r="H11" s="2"/>
      <c r="I11" s="2">
        <v>13</v>
      </c>
    </row>
    <row r="12" spans="1:9" ht="22" customHeight="1">
      <c r="A12" s="4">
        <v>9</v>
      </c>
      <c r="B12" s="2"/>
      <c r="C12" s="2">
        <v>11.5</v>
      </c>
      <c r="D12" s="2"/>
      <c r="E12" s="2">
        <v>20.1</v>
      </c>
      <c r="F12" s="2"/>
      <c r="G12" s="2">
        <v>15.7</v>
      </c>
      <c r="H12" s="2"/>
      <c r="I12" s="2">
        <v>9.4</v>
      </c>
    </row>
    <row r="13" spans="1:9" ht="22" customHeight="1">
      <c r="A13" s="4">
        <v>10</v>
      </c>
      <c r="B13" s="2"/>
      <c r="C13" s="2">
        <v>11.5</v>
      </c>
      <c r="D13" s="2"/>
      <c r="E13" s="2">
        <v>20.6</v>
      </c>
      <c r="F13" s="2"/>
      <c r="G13" s="2">
        <v>21.7</v>
      </c>
      <c r="H13" s="2"/>
      <c r="I13" s="2">
        <v>11.3</v>
      </c>
    </row>
    <row r="15" spans="1:9">
      <c r="A15" s="5" t="s">
        <v>12</v>
      </c>
      <c r="B15" s="5"/>
      <c r="C15" s="5"/>
      <c r="D15" s="5"/>
      <c r="E15" s="5"/>
      <c r="F15" s="5"/>
      <c r="G15" s="5"/>
      <c r="H15" s="5"/>
      <c r="I15" s="5"/>
    </row>
    <row r="16" spans="1:9">
      <c r="A16" s="5"/>
      <c r="B16" s="5"/>
      <c r="C16" s="5"/>
      <c r="D16" s="5"/>
      <c r="E16" s="5"/>
      <c r="F16" s="5"/>
      <c r="G16" s="5"/>
      <c r="H16" s="5"/>
      <c r="I16" s="5"/>
    </row>
    <row r="18" spans="1:5">
      <c r="A18" s="3" t="s">
        <v>13</v>
      </c>
      <c r="B18" s="3"/>
      <c r="C18" s="3"/>
      <c r="D18" s="3"/>
      <c r="E18" s="3"/>
    </row>
    <row r="19" spans="1:5">
      <c r="A19" s="4" t="s">
        <v>5</v>
      </c>
      <c r="B19" s="3" t="s">
        <v>6</v>
      </c>
      <c r="C19" s="3" t="s">
        <v>9</v>
      </c>
      <c r="D19" s="3" t="s">
        <v>10</v>
      </c>
      <c r="E19" s="3" t="s">
        <v>11</v>
      </c>
    </row>
    <row r="20" spans="1:5">
      <c r="A20" s="4">
        <v>1</v>
      </c>
      <c r="B20" s="6">
        <f>($B$4+C4)/100</f>
        <v>0.973</v>
      </c>
      <c r="C20" s="6">
        <f>($D$4+E4)/100</f>
        <v>1.484</v>
      </c>
      <c r="D20" s="6">
        <f>($F$4+G4)/100</f>
        <v>1.548</v>
      </c>
      <c r="E20" s="6">
        <f>($H$4+I4)/100</f>
        <v>1.222</v>
      </c>
    </row>
    <row r="21" spans="1:5">
      <c r="A21" s="4">
        <v>2</v>
      </c>
      <c r="B21" s="6">
        <f>($B$4+C5)/100</f>
        <v>1.014</v>
      </c>
      <c r="C21" s="6">
        <f>($D$4+E5)/100</f>
        <v>1.4720000000000002</v>
      </c>
      <c r="D21" s="6">
        <f>($F$4+G5)/100</f>
        <v>1.56</v>
      </c>
      <c r="E21" s="6">
        <f>($H$4+I5)/100</f>
        <v>1.242</v>
      </c>
    </row>
    <row r="22" spans="1:5">
      <c r="A22" s="4">
        <v>3</v>
      </c>
      <c r="B22" s="6">
        <f>($B$4+C6)/100</f>
        <v>1.014</v>
      </c>
      <c r="C22" s="6">
        <f>($D$4+E6)/100</f>
        <v>1.52</v>
      </c>
      <c r="D22" s="6">
        <f>($F$4+G6)/100</f>
        <v>1.5630000000000002</v>
      </c>
      <c r="E22" s="6">
        <f>($H$4+I6)/100</f>
        <v>1.28</v>
      </c>
    </row>
    <row r="23" spans="1:5">
      <c r="A23" s="4">
        <v>4</v>
      </c>
      <c r="B23" s="6">
        <f>($B$4+C7)/100</f>
        <v>1.02</v>
      </c>
      <c r="C23" s="6">
        <f>($D$4+E7)/100</f>
        <v>1.5630000000000002</v>
      </c>
      <c r="D23" s="6">
        <f>($F$4+G7)/100</f>
        <v>1.588</v>
      </c>
      <c r="E23" s="6">
        <f>($H$4+I7)/100</f>
        <v>1.3019999999999998</v>
      </c>
    </row>
    <row r="24" spans="1:5">
      <c r="A24" s="4">
        <v>5</v>
      </c>
      <c r="B24" s="6">
        <f>($B$4+C8)/100</f>
        <v>1.03</v>
      </c>
      <c r="C24" s="6">
        <f>($D$4+E8)/100</f>
        <v>1.575</v>
      </c>
      <c r="D24" s="6">
        <f>($F$4+G8)/100</f>
        <v>1.6</v>
      </c>
      <c r="E24" s="6">
        <f>($H$4+I8)/100</f>
        <v>1.367</v>
      </c>
    </row>
    <row r="25" spans="1:5">
      <c r="A25" s="4">
        <v>6</v>
      </c>
      <c r="B25" s="6">
        <f>($B$4+C9)/100</f>
        <v>1.028</v>
      </c>
      <c r="C25" s="6">
        <f>($D$4+E9)/100</f>
        <v>1.579</v>
      </c>
      <c r="D25" s="6">
        <f>($F$4+G9)/100</f>
        <v>1.601</v>
      </c>
      <c r="E25" s="6">
        <f>($H$4+I9)/100</f>
        <v>1.431</v>
      </c>
    </row>
    <row r="26" spans="1:5">
      <c r="A26" s="4">
        <v>7</v>
      </c>
      <c r="B26" s="6">
        <f>($B$4+C10)/100</f>
        <v>1.051</v>
      </c>
      <c r="C26" s="6">
        <f>($D$4+E10)/100</f>
        <v>1.589</v>
      </c>
      <c r="D26" s="6">
        <f>($F$4+G10)/100</f>
        <v>1.621</v>
      </c>
      <c r="E26" s="6">
        <f>($H$4+I10)/100</f>
        <v>1.442</v>
      </c>
    </row>
    <row r="27" spans="1:5">
      <c r="A27" s="4">
        <v>8</v>
      </c>
      <c r="B27" s="6">
        <f>($B$4+C11)/100</f>
        <v>1.051</v>
      </c>
      <c r="C27" s="6">
        <f>($D$4+E11)/100</f>
        <v>1.618</v>
      </c>
      <c r="D27" s="6">
        <f>($F$4+G11)/100</f>
        <v>1.643</v>
      </c>
      <c r="E27" s="6">
        <f>($H$4+I11)/100</f>
        <v>1.311</v>
      </c>
    </row>
    <row r="28" spans="1:5">
      <c r="A28" s="4">
        <v>9</v>
      </c>
      <c r="B28" s="6">
        <f>($B$4+C12)/100</f>
        <v>1.056</v>
      </c>
      <c r="C28" s="6">
        <f>($D$4+E12)/100</f>
        <v>1.62</v>
      </c>
      <c r="D28" s="6">
        <f>($F$4+G12)/100</f>
        <v>1.646</v>
      </c>
      <c r="E28" s="6">
        <f>($H$4+I12)/100</f>
        <v>1.275</v>
      </c>
    </row>
    <row r="29" spans="1:5">
      <c r="A29" s="4">
        <v>10</v>
      </c>
      <c r="B29" s="6">
        <f>($B$4+C13)/100</f>
        <v>1.056</v>
      </c>
      <c r="C29" s="6">
        <f>($D$4+E13)/100</f>
        <v>1.625</v>
      </c>
      <c r="D29" s="6">
        <f>($F$4+G13)/100</f>
        <v>1.706</v>
      </c>
      <c r="E29" s="6">
        <f>($H$4+I13)/100</f>
        <v>1.294</v>
      </c>
    </row>
    <row r="30" spans="1:5">
      <c r="A30" s="1" t="s">
        <v>14</v>
      </c>
      <c r="B30" s="7">
        <f>AVERAGE(B20:B29)</f>
        <v>1.0293</v>
      </c>
      <c r="C30" s="7">
        <f>AVERAGE(C20:C29)</f>
        <v>1.5645</v>
      </c>
      <c r="D30" s="7">
        <f>AVERAGE(D20:D29)</f>
        <v>1.6076000000000001</v>
      </c>
      <c r="E30" s="7">
        <f>AVERAGE(E20:E29)</f>
        <v>1.3166</v>
      </c>
    </row>
    <row r="31" spans="1:5">
      <c r="A31" s="1" t="s">
        <v>15</v>
      </c>
      <c r="B31" s="6">
        <f>STDEVP(B20:B29)</f>
        <v>0.024686230980042297</v>
      </c>
      <c r="C31" s="6">
        <f>STDEVP(C20:C29)</f>
        <v>0.05248094892434776</v>
      </c>
      <c r="D31" s="6">
        <f>STDEVP(D20:D29)</f>
        <v>0.045697264688381464</v>
      </c>
      <c r="E31" s="6">
        <f>STDEVP(E20:E29)</f>
        <v>0.07049283651549285</v>
      </c>
    </row>
    <row r="32" spans="1:5" hidden="1">
      <c r="A32" s="1" t="s">
        <v>16</v>
      </c>
      <c r="B32" s="7">
        <f>B31</f>
        <v>0.024686230980042297</v>
      </c>
      <c r="C32" s="7">
        <f>C31</f>
        <v>0.05248094892434776</v>
      </c>
      <c r="D32" s="7">
        <f>D31</f>
        <v>0.045697264688381464</v>
      </c>
      <c r="E32" s="7">
        <f>E31</f>
        <v>0.07049283651549285</v>
      </c>
    </row>
    <row r="33" spans="1:9">
      <c r="A33" s="1" t="s">
        <v>17</v>
      </c>
      <c r="B33" s="8">
        <f>B30*SQRT('Összesítés'!$B$4/(2*('Összesítés'!$B$3*COS(RADIANS(0))^2+B30*SIN(RADIANS(0))*COS(RADIANS(0)))))</f>
        <v>4.605517495552127</v>
      </c>
      <c r="C33" s="7">
        <f>C30*SQRT('Összesítés'!$B$4/(2*('Összesítés'!$B$3*COS(RADIANS(30))^2+C30*SIN(RADIANS(30))*COS(RADIANS(30)))))</f>
        <v>3.7337348483343824</v>
      </c>
      <c r="D33" s="7">
        <f>D30*SQRT('Összesítés'!$B$4/(2*('Összesítés'!$B$3*COS(RADIANS(45))^2+D30*SIN(RADIANS(45))*COS(RADIANS(45)))))</f>
        <v>3.6993180485595096</v>
      </c>
      <c r="E33" s="8">
        <f>E30*SQRT('Összesítés'!$B$4/(2*('Összesítés'!$B$3*COS(RADIANS(60))^2+E30*SIN(RADIANS(60))*COS(RADIANS(60)))))</f>
        <v>3.6697519376773573</v>
      </c>
    </row>
    <row r="34" spans="1:9">
      <c r="A34" s="1" t="s">
        <v>18</v>
      </c>
      <c r="B34" s="8">
        <f>B33*(1/B30-SIN(RADIANS(0))*COS(RADIANS(0))/(2*('Összesítés'!$B$3*COS(RADIANS(0))^2+B30*SIN(RADIANS(0))*COS(RADIANS(0)))))*B32</f>
        <v>0.1104564934206021</v>
      </c>
      <c r="C34" s="7">
        <f>C33*(1/C30-SIN(RADIANS(30))*COS(RADIANS(30))/(2*('Összesítés'!$B$3*COS(RADIANS(30))^2+C30*SIN(RADIANS(30))*COS(RADIANS(30)))))*C32</f>
        <v>0.075985586972493</v>
      </c>
      <c r="D34" s="7">
        <f>D33*(1/D30-SIN(RADIANS(45))*COS(RADIANS(45))/(2*('Összesítés'!$B$3*COS(RADIANS(45))^2+D30*SIN(RADIANS(45))*COS(RADIANS(45)))))*D32</f>
        <v>0.059531235784008665</v>
      </c>
      <c r="E34" s="8">
        <f>E33*(1/E30-SIN(RADIANS(60))*COS(RADIANS(60))/(2*('Összesítés'!$B$3*COS(RADIANS(60))^2+E30*SIN(RADIANS(60))*COS(RADIANS(60)))))*E32</f>
        <v>0.10777297601158375</v>
      </c>
    </row>
    <row r="35" spans="1:9">
      <c r="A35" s="5" t="s">
        <v>19</v>
      </c>
      <c r="B35" s="5"/>
      <c r="C35" s="5"/>
      <c r="D35" s="5"/>
      <c r="E35" s="5"/>
      <c r="F35" s="5"/>
      <c r="G35" s="5"/>
      <c r="H35" s="5"/>
      <c r="I35" s="5"/>
    </row>
    <row r="36" spans="1:9">
      <c r="A36" s="5"/>
      <c r="B36" s="5"/>
      <c r="C36" s="5"/>
      <c r="D36" s="5"/>
      <c r="E36" s="5"/>
      <c r="F36" s="5"/>
      <c r="G36" s="5"/>
      <c r="H36" s="5"/>
      <c r="I36" s="5"/>
    </row>
  </sheetData>
  <mergeCells count="12">
    <mergeCell ref="A1:H1"/>
    <mergeCell ref="B2:C2"/>
    <mergeCell ref="B4:B13"/>
    <mergeCell ref="D2:E2"/>
    <mergeCell ref="D4:D13"/>
    <mergeCell ref="F2:G2"/>
    <mergeCell ref="F4:F13"/>
    <mergeCell ref="H2:I2"/>
    <mergeCell ref="H4:H13"/>
    <mergeCell ref="A15:I16"/>
    <mergeCell ref="A18:E18"/>
    <mergeCell ref="A35:I36"/>
  </mergeCells>
  <pageMargins left="0.3" right="0.3" top="0.3" bottom="0.3" header="0.3" footer="0.3"/>
  <pageSetup paperSize="9" orientation="landscape"/>
  <headerFoot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6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4.7109375" customWidth="1"/>
    <col min="2" max="9" width="10.7109375" customWidth="1"/>
  </cols>
  <sheetData>
    <row r="1" spans="1:9">
      <c r="A1" s="1" t="s">
        <v>3</v>
      </c>
      <c r="B1" s="1"/>
      <c r="C1" s="1"/>
      <c r="D1" s="1"/>
      <c r="E1" s="1"/>
      <c r="F1" s="1"/>
      <c r="G1" s="1"/>
      <c r="H1" s="1"/>
      <c r="I1" s="2">
        <f>'Összesítés'!$B$3*100</f>
        <v>24.5</v>
      </c>
    </row>
    <row r="2" spans="1:9">
      <c r="A2" s="1" t="s">
        <v>24</v>
      </c>
      <c r="B2" s="3" t="s">
        <v>6</v>
      </c>
      <c r="C2" s="3"/>
      <c r="D2" s="3" t="s">
        <v>9</v>
      </c>
      <c r="E2" s="3"/>
      <c r="F2" s="3" t="s">
        <v>10</v>
      </c>
      <c r="G2" s="3"/>
      <c r="H2" s="3" t="s">
        <v>11</v>
      </c>
      <c r="I2" s="3"/>
    </row>
    <row r="3" spans="1:9">
      <c r="A3" s="4" t="s">
        <v>5</v>
      </c>
      <c r="B3" s="4" t="s">
        <v>7</v>
      </c>
      <c r="C3" s="4" t="s">
        <v>8</v>
      </c>
      <c r="D3" s="4" t="s">
        <v>7</v>
      </c>
      <c r="E3" s="4" t="s">
        <v>8</v>
      </c>
      <c r="F3" s="4" t="s">
        <v>7</v>
      </c>
      <c r="G3" s="4" t="s">
        <v>8</v>
      </c>
      <c r="H3" s="4" t="s">
        <v>7</v>
      </c>
      <c r="I3" s="4" t="s">
        <v>8</v>
      </c>
    </row>
    <row r="4" spans="1:9" ht="22" customHeight="1">
      <c r="A4" s="4">
        <v>1</v>
      </c>
      <c r="B4" s="2">
        <v>131.4</v>
      </c>
      <c r="C4" s="2">
        <v>6.2</v>
      </c>
      <c r="D4" s="2">
        <v>224.3</v>
      </c>
      <c r="E4" s="2">
        <v>1.2</v>
      </c>
      <c r="F4" s="2">
        <v>242.9</v>
      </c>
      <c r="G4" s="2">
        <v>2.9</v>
      </c>
      <c r="H4" s="2">
        <v>188.4</v>
      </c>
      <c r="I4" s="2">
        <v>2.9</v>
      </c>
    </row>
    <row r="5" spans="1:9" ht="22" customHeight="1">
      <c r="A5" s="4">
        <v>2</v>
      </c>
      <c r="B5" s="2"/>
      <c r="C5" s="2">
        <v>14.6</v>
      </c>
      <c r="D5" s="2"/>
      <c r="E5" s="2">
        <v>3.1</v>
      </c>
      <c r="F5" s="2"/>
      <c r="G5" s="2">
        <v>4.4</v>
      </c>
      <c r="H5" s="2"/>
      <c r="I5" s="2">
        <v>3.4</v>
      </c>
    </row>
    <row r="6" spans="1:9" ht="22" customHeight="1">
      <c r="A6" s="4">
        <v>3</v>
      </c>
      <c r="B6" s="2"/>
      <c r="C6" s="2">
        <v>15.3</v>
      </c>
      <c r="D6" s="2"/>
      <c r="E6" s="2">
        <v>10.4</v>
      </c>
      <c r="F6" s="2"/>
      <c r="G6" s="2">
        <v>10.7</v>
      </c>
      <c r="H6" s="2"/>
      <c r="I6" s="2">
        <v>6.5</v>
      </c>
    </row>
    <row r="7" spans="1:9" ht="22" customHeight="1">
      <c r="A7" s="4">
        <v>4</v>
      </c>
      <c r="B7" s="2"/>
      <c r="C7" s="2">
        <v>15.7</v>
      </c>
      <c r="D7" s="2"/>
      <c r="E7" s="2">
        <v>11.2</v>
      </c>
      <c r="F7" s="2"/>
      <c r="G7" s="2">
        <v>11.6</v>
      </c>
      <c r="H7" s="2"/>
      <c r="I7" s="2">
        <v>5.3</v>
      </c>
    </row>
    <row r="8" spans="1:9" ht="22" customHeight="1">
      <c r="A8" s="4">
        <v>5</v>
      </c>
      <c r="B8" s="2"/>
      <c r="C8" s="2">
        <v>16.1</v>
      </c>
      <c r="D8" s="2"/>
      <c r="E8" s="2">
        <v>14.1</v>
      </c>
      <c r="F8" s="2"/>
      <c r="G8" s="2">
        <v>13.4</v>
      </c>
      <c r="H8" s="2"/>
      <c r="I8" s="2">
        <v>8.1</v>
      </c>
    </row>
    <row r="9" spans="1:9" ht="22" customHeight="1">
      <c r="A9" s="4">
        <v>6</v>
      </c>
      <c r="B9" s="2"/>
      <c r="C9" s="2">
        <v>16.6</v>
      </c>
      <c r="D9" s="2"/>
      <c r="E9" s="2">
        <v>20.6</v>
      </c>
      <c r="F9" s="2"/>
      <c r="G9" s="2">
        <v>15.4</v>
      </c>
      <c r="H9" s="2"/>
      <c r="I9" s="2">
        <v>13.6</v>
      </c>
    </row>
    <row r="10" spans="1:9" ht="22" customHeight="1">
      <c r="A10" s="4">
        <v>7</v>
      </c>
      <c r="B10" s="2"/>
      <c r="C10" s="2">
        <v>18.3</v>
      </c>
      <c r="D10" s="2"/>
      <c r="E10" s="2">
        <v>22.2</v>
      </c>
      <c r="F10" s="2"/>
      <c r="G10" s="2">
        <v>17.1</v>
      </c>
      <c r="H10" s="2"/>
      <c r="I10" s="2">
        <v>12.7</v>
      </c>
    </row>
    <row r="11" spans="1:9" ht="22" customHeight="1">
      <c r="A11" s="4">
        <v>8</v>
      </c>
      <c r="B11" s="2"/>
      <c r="C11" s="2">
        <v>18.7</v>
      </c>
      <c r="D11" s="2"/>
      <c r="E11" s="2">
        <v>25.9</v>
      </c>
      <c r="F11" s="2"/>
      <c r="G11" s="2">
        <v>18.4</v>
      </c>
      <c r="H11" s="2"/>
      <c r="I11" s="2">
        <v>10.1</v>
      </c>
    </row>
    <row r="12" spans="1:9" ht="22" customHeight="1">
      <c r="A12" s="4">
        <v>9</v>
      </c>
      <c r="B12" s="2"/>
      <c r="C12" s="2">
        <v>21.8</v>
      </c>
      <c r="D12" s="2"/>
      <c r="E12" s="2">
        <v>28.4</v>
      </c>
      <c r="F12" s="2"/>
      <c r="G12" s="2">
        <v>18.4</v>
      </c>
      <c r="H12" s="2"/>
      <c r="I12" s="2">
        <v>14.5</v>
      </c>
    </row>
    <row r="13" spans="1:9" ht="22" customHeight="1">
      <c r="A13" s="4">
        <v>10</v>
      </c>
      <c r="B13" s="2"/>
      <c r="C13" s="2">
        <v>25.3</v>
      </c>
      <c r="D13" s="2"/>
      <c r="E13" s="2">
        <v>4.6</v>
      </c>
      <c r="F13" s="2"/>
      <c r="G13" s="2">
        <v>18.6</v>
      </c>
      <c r="H13" s="2"/>
      <c r="I13" s="2">
        <v>16.4</v>
      </c>
    </row>
    <row r="15" spans="1:9">
      <c r="A15" s="5" t="s">
        <v>12</v>
      </c>
      <c r="B15" s="5"/>
      <c r="C15" s="5"/>
      <c r="D15" s="5"/>
      <c r="E15" s="5"/>
      <c r="F15" s="5"/>
      <c r="G15" s="5"/>
      <c r="H15" s="5"/>
      <c r="I15" s="5"/>
    </row>
    <row r="16" spans="1:9">
      <c r="A16" s="5"/>
      <c r="B16" s="5"/>
      <c r="C16" s="5"/>
      <c r="D16" s="5"/>
      <c r="E16" s="5"/>
      <c r="F16" s="5"/>
      <c r="G16" s="5"/>
      <c r="H16" s="5"/>
      <c r="I16" s="5"/>
    </row>
    <row r="18" spans="1:5">
      <c r="A18" s="3" t="s">
        <v>13</v>
      </c>
      <c r="B18" s="3"/>
      <c r="C18" s="3"/>
      <c r="D18" s="3"/>
      <c r="E18" s="3"/>
    </row>
    <row r="19" spans="1:5">
      <c r="A19" s="4" t="s">
        <v>5</v>
      </c>
      <c r="B19" s="3" t="s">
        <v>6</v>
      </c>
      <c r="C19" s="3" t="s">
        <v>9</v>
      </c>
      <c r="D19" s="3" t="s">
        <v>10</v>
      </c>
      <c r="E19" s="3" t="s">
        <v>11</v>
      </c>
    </row>
    <row r="20" spans="1:5">
      <c r="A20" s="4">
        <v>1</v>
      </c>
      <c r="B20" s="6">
        <f>($B$4+C4)/100</f>
        <v>1.376</v>
      </c>
      <c r="C20" s="6">
        <f>($D$4+E4)/100</f>
        <v>2.255</v>
      </c>
      <c r="D20" s="6">
        <f>($F$4+G4)/100</f>
        <v>2.458</v>
      </c>
      <c r="E20" s="6">
        <f>($H$4+I4)/100</f>
        <v>1.913</v>
      </c>
    </row>
    <row r="21" spans="1:5">
      <c r="A21" s="4">
        <v>2</v>
      </c>
      <c r="B21" s="6">
        <f>($B$4+C5)/100</f>
        <v>1.46</v>
      </c>
      <c r="C21" s="6">
        <f>($D$4+E5)/100</f>
        <v>2.274</v>
      </c>
      <c r="D21" s="6">
        <f>($F$4+G5)/100</f>
        <v>2.4730000000000003</v>
      </c>
      <c r="E21" s="6">
        <f>($H$4+I5)/100</f>
        <v>1.9180000000000001</v>
      </c>
    </row>
    <row r="22" spans="1:5">
      <c r="A22" s="4">
        <v>3</v>
      </c>
      <c r="B22" s="6">
        <f>($B$4+C6)/100</f>
        <v>1.467</v>
      </c>
      <c r="C22" s="6">
        <f>($D$4+E6)/100</f>
        <v>2.347</v>
      </c>
      <c r="D22" s="6">
        <f>($F$4+G6)/100</f>
        <v>2.536</v>
      </c>
      <c r="E22" s="6">
        <f>($H$4+I6)/100</f>
        <v>1.949</v>
      </c>
    </row>
    <row r="23" spans="1:5">
      <c r="A23" s="4">
        <v>4</v>
      </c>
      <c r="B23" s="6">
        <f>($B$4+C7)/100</f>
        <v>1.4709999999999999</v>
      </c>
      <c r="C23" s="6">
        <f>($D$4+E7)/100</f>
        <v>2.355</v>
      </c>
      <c r="D23" s="6">
        <f>($F$4+G7)/100</f>
        <v>2.545</v>
      </c>
      <c r="E23" s="6">
        <f>($H$4+I7)/100</f>
        <v>1.9370000000000003</v>
      </c>
    </row>
    <row r="24" spans="1:5">
      <c r="A24" s="4">
        <v>5</v>
      </c>
      <c r="B24" s="6">
        <f>($B$4+C8)/100</f>
        <v>1.475</v>
      </c>
      <c r="C24" s="6">
        <f>($D$4+E8)/100</f>
        <v>2.384</v>
      </c>
      <c r="D24" s="6">
        <f>($F$4+G8)/100</f>
        <v>2.563</v>
      </c>
      <c r="E24" s="6">
        <f>($H$4+I8)/100</f>
        <v>1.965</v>
      </c>
    </row>
    <row r="25" spans="1:5">
      <c r="A25" s="4">
        <v>6</v>
      </c>
      <c r="B25" s="6">
        <f>($B$4+C9)/100</f>
        <v>1.48</v>
      </c>
      <c r="C25" s="6">
        <f>($D$4+E9)/100</f>
        <v>2.449</v>
      </c>
      <c r="D25" s="6">
        <f>($F$4+G9)/100</f>
        <v>2.583</v>
      </c>
      <c r="E25" s="6">
        <f>($H$4+I9)/100</f>
        <v>2.02</v>
      </c>
    </row>
    <row r="26" spans="1:5">
      <c r="A26" s="4">
        <v>7</v>
      </c>
      <c r="B26" s="6">
        <f>($B$4+C10)/100</f>
        <v>1.497</v>
      </c>
      <c r="C26" s="6">
        <f>($D$4+E10)/100</f>
        <v>2.465</v>
      </c>
      <c r="D26" s="6">
        <f>($F$4+G10)/100</f>
        <v>2.6</v>
      </c>
      <c r="E26" s="6">
        <f>($H$4+I10)/100</f>
        <v>2.011</v>
      </c>
    </row>
    <row r="27" spans="1:5">
      <c r="A27" s="4">
        <v>8</v>
      </c>
      <c r="B27" s="6">
        <f>($B$4+C11)/100</f>
        <v>1.501</v>
      </c>
      <c r="C27" s="6">
        <f>($D$4+E11)/100</f>
        <v>2.5020000000000002</v>
      </c>
      <c r="D27" s="6">
        <f>($F$4+G11)/100</f>
        <v>2.613</v>
      </c>
      <c r="E27" s="6">
        <f>($H$4+I11)/100</f>
        <v>1.985</v>
      </c>
    </row>
    <row r="28" spans="1:5">
      <c r="A28" s="4">
        <v>9</v>
      </c>
      <c r="B28" s="6">
        <f>($B$4+C12)/100</f>
        <v>1.5320000000000003</v>
      </c>
      <c r="C28" s="6">
        <f>($D$4+E12)/100</f>
        <v>2.527</v>
      </c>
      <c r="D28" s="6">
        <f>($F$4+G12)/100</f>
        <v>2.613</v>
      </c>
      <c r="E28" s="6">
        <f>($H$4+I12)/100</f>
        <v>2.029</v>
      </c>
    </row>
    <row r="29" spans="1:5">
      <c r="A29" s="4">
        <v>10</v>
      </c>
      <c r="B29" s="6">
        <f>($B$4+C13)/100</f>
        <v>1.5670000000000002</v>
      </c>
      <c r="C29" s="6">
        <f>($D$4+E13)/100</f>
        <v>2.289</v>
      </c>
      <c r="D29" s="6">
        <f>($F$4+G13)/100</f>
        <v>2.615</v>
      </c>
      <c r="E29" s="6">
        <f>($H$4+I13)/100</f>
        <v>2.048</v>
      </c>
    </row>
    <row r="30" spans="1:5">
      <c r="A30" s="1" t="s">
        <v>14</v>
      </c>
      <c r="B30" s="7">
        <f>AVERAGE(B20:B29)</f>
        <v>1.4826000000000001</v>
      </c>
      <c r="C30" s="7">
        <f>AVERAGE(C20:C29)</f>
        <v>2.3847</v>
      </c>
      <c r="D30" s="7">
        <f>AVERAGE(D20:D29)</f>
        <v>2.5599000000000003</v>
      </c>
      <c r="E30" s="7">
        <f>AVERAGE(E20:E29)</f>
        <v>1.9775</v>
      </c>
    </row>
    <row r="31" spans="1:5">
      <c r="A31" s="1" t="s">
        <v>15</v>
      </c>
      <c r="B31" s="6">
        <f>STDEVP(B20:B29)</f>
        <v>0.047356520142426084</v>
      </c>
      <c r="C31" s="6">
        <f>STDEVP(C20:C29)</f>
        <v>0.09226597422668882</v>
      </c>
      <c r="D31" s="6">
        <f>STDEVP(D20:D29)</f>
        <v>0.05436441851063979</v>
      </c>
      <c r="E31" s="6">
        <f>STDEVP(E20:E29)</f>
        <v>0.045734560236215194</v>
      </c>
    </row>
    <row r="32" spans="1:5" hidden="1">
      <c r="A32" s="1" t="s">
        <v>16</v>
      </c>
      <c r="B32" s="7">
        <f>B31</f>
        <v>0.047356520142426084</v>
      </c>
      <c r="C32" s="7">
        <f>C31</f>
        <v>0.09226597422668882</v>
      </c>
      <c r="D32" s="7">
        <f>D31</f>
        <v>0.05436441851063979</v>
      </c>
      <c r="E32" s="7">
        <f>E31</f>
        <v>0.045734560236215194</v>
      </c>
    </row>
    <row r="33" spans="1:9">
      <c r="A33" s="1" t="s">
        <v>17</v>
      </c>
      <c r="B33" s="8">
        <f>B30*SQRT('Összesítés'!$B$4/(2*('Összesítés'!$B$3*COS(RADIANS(0))^2+B30*SIN(RADIANS(0))*COS(RADIANS(0)))))</f>
        <v>6.6337707557617644</v>
      </c>
      <c r="C33" s="8">
        <f>C30*SQRT('Összesítés'!$B$4/(2*('Összesítés'!$B$3*COS(RADIANS(30))^2+C30*SIN(RADIANS(30))*COS(RADIANS(30)))))</f>
        <v>4.788759378676757</v>
      </c>
      <c r="D33" s="7">
        <f>D30*SQRT('Összesítés'!$B$4/(2*('Összesítés'!$B$3*COS(RADIANS(45))^2+D30*SIN(RADIANS(45))*COS(RADIANS(45)))))</f>
        <v>4.787390049875101</v>
      </c>
      <c r="E33" s="7">
        <f>E30*SQRT('Összesítés'!$B$4/(2*('Összesítés'!$B$3*COS(RADIANS(60))^2+E30*SIN(RADIANS(60))*COS(RADIANS(60)))))</f>
        <v>4.572200237895513</v>
      </c>
    </row>
    <row r="34" spans="1:9">
      <c r="A34" s="1" t="s">
        <v>18</v>
      </c>
      <c r="B34" s="8">
        <f>B33*(1/B30-SIN(RADIANS(0))*COS(RADIANS(0))/(2*('Összesítés'!$B$3*COS(RADIANS(0))^2+B30*SIN(RADIANS(0))*COS(RADIANS(0)))))*B32</f>
        <v>0.21189282234956772</v>
      </c>
      <c r="C34" s="8">
        <f>C33*(1/C30-SIN(RADIANS(30))*COS(RADIANS(30))/(2*('Összesítés'!$B$3*COS(RADIANS(30))^2+C30*SIN(RADIANS(30))*COS(RADIANS(30)))))*C32</f>
        <v>0.10663532170725443</v>
      </c>
      <c r="D34" s="7">
        <f>D33*(1/D30-SIN(RADIANS(45))*COS(RADIANS(45))/(2*('Összesítés'!$B$3*COS(RADIANS(45))^2+D30*SIN(RADIANS(45))*COS(RADIANS(45)))))*D32</f>
        <v>0.055275003840344956</v>
      </c>
      <c r="E34" s="7">
        <f>E33*(1/E30-SIN(RADIANS(60))*COS(RADIANS(60))/(2*('Összesítés'!$B$3*COS(RADIANS(60))^2+E30*SIN(RADIANS(60))*COS(RADIANS(60)))))*E32</f>
        <v>0.05640115497567409</v>
      </c>
    </row>
    <row r="35" spans="1:9">
      <c r="A35" s="5" t="s">
        <v>19</v>
      </c>
      <c r="B35" s="5"/>
      <c r="C35" s="5"/>
      <c r="D35" s="5"/>
      <c r="E35" s="5"/>
      <c r="F35" s="5"/>
      <c r="G35" s="5"/>
      <c r="H35" s="5"/>
      <c r="I35" s="5"/>
    </row>
    <row r="36" spans="1:9">
      <c r="A36" s="5"/>
      <c r="B36" s="5"/>
      <c r="C36" s="5"/>
      <c r="D36" s="5"/>
      <c r="E36" s="5"/>
      <c r="F36" s="5"/>
      <c r="G36" s="5"/>
      <c r="H36" s="5"/>
      <c r="I36" s="5"/>
    </row>
  </sheetData>
  <mergeCells count="12">
    <mergeCell ref="A1:H1"/>
    <mergeCell ref="B2:C2"/>
    <mergeCell ref="B4:B13"/>
    <mergeCell ref="D2:E2"/>
    <mergeCell ref="D4:D13"/>
    <mergeCell ref="F2:G2"/>
    <mergeCell ref="F4:F13"/>
    <mergeCell ref="H2:I2"/>
    <mergeCell ref="H4:H13"/>
    <mergeCell ref="A15:I16"/>
    <mergeCell ref="A18:E18"/>
    <mergeCell ref="A35:I36"/>
  </mergeCells>
  <pageMargins left="0.3" right="0.3" top="0.3" bottom="0.3" header="0.3" footer="0.3"/>
  <pageSetup paperSize="9" orientation="landscape"/>
  <headerFooter>
    <oddFooter>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8"/>
  <sheetViews>
    <sheetView showGridLines="0" workbookViewId="0"/>
  </sheetViews>
  <sheetFormatPr defaultRowHeight="15"/>
  <cols>
    <col min="1" max="1" width="24.7109375" customWidth="1"/>
    <col min="2" max="5" width="15.7109375" customWidth="1"/>
    <col min="6" max="8" width="13.7109375" customWidth="1"/>
  </cols>
  <sheetData>
    <row r="1" spans="1:5">
      <c r="A1" s="3" t="s">
        <v>0</v>
      </c>
      <c r="B1" s="3"/>
      <c r="C1" s="3"/>
      <c r="D1" s="3"/>
      <c r="E1" s="3"/>
    </row>
    <row r="3" spans="1:5">
      <c r="A3" s="1" t="s">
        <v>1</v>
      </c>
      <c r="B3" s="6">
        <v>0.245</v>
      </c>
    </row>
    <row r="4" spans="1:5">
      <c r="A4" s="1" t="s">
        <v>2</v>
      </c>
      <c r="B4" s="7">
        <v>9.81</v>
      </c>
    </row>
    <row r="7" spans="1:5">
      <c r="A7" s="3" t="s">
        <v>20</v>
      </c>
      <c r="B7" s="3" t="s">
        <v>6</v>
      </c>
      <c r="C7" s="3" t="s">
        <v>9</v>
      </c>
      <c r="D7" s="3" t="s">
        <v>10</v>
      </c>
      <c r="E7" s="3" t="s">
        <v>11</v>
      </c>
    </row>
    <row r="8" spans="1:5">
      <c r="A8" s="1" t="s">
        <v>21</v>
      </c>
      <c r="B8" s="7">
        <f>'F'!B30</f>
        <v>0.7343</v>
      </c>
      <c r="C8" s="7">
        <f>'F'!C30</f>
        <v>1.0598</v>
      </c>
      <c r="D8" s="7">
        <f>'F'!D30</f>
        <v>0.9634</v>
      </c>
      <c r="E8" s="7">
        <f>'F'!E30</f>
        <v>0.7114</v>
      </c>
    </row>
    <row r="9" spans="1:5">
      <c r="A9" s="1" t="s">
        <v>17</v>
      </c>
      <c r="B9" s="8">
        <f>'F'!B33</f>
        <v>3.28556445835415</v>
      </c>
      <c r="C9" s="7">
        <f>'F'!C33</f>
        <v>2.927883867025187</v>
      </c>
      <c r="D9" s="7">
        <f>'F'!D33</f>
        <v>2.7449585282382256</v>
      </c>
      <c r="E9" s="7">
        <f>'F'!E33</f>
        <v>2.592665651504865</v>
      </c>
    </row>
    <row r="11" spans="1:5">
      <c r="A11" s="3" t="s">
        <v>23</v>
      </c>
      <c r="B11" s="3" t="s">
        <v>6</v>
      </c>
      <c r="C11" s="3" t="s">
        <v>9</v>
      </c>
      <c r="D11" s="3" t="s">
        <v>10</v>
      </c>
      <c r="E11" s="3" t="s">
        <v>11</v>
      </c>
    </row>
    <row r="12" spans="1:5">
      <c r="A12" s="1" t="s">
        <v>21</v>
      </c>
      <c r="B12" s="7">
        <f>'2F'!B30</f>
        <v>1.0293</v>
      </c>
      <c r="C12" s="7">
        <f>'2F'!C30</f>
        <v>1.5645</v>
      </c>
      <c r="D12" s="7">
        <f>'2F'!D30</f>
        <v>1.6076000000000001</v>
      </c>
      <c r="E12" s="7">
        <f>'2F'!E30</f>
        <v>1.3166</v>
      </c>
    </row>
    <row r="13" spans="1:5">
      <c r="A13" s="1" t="s">
        <v>17</v>
      </c>
      <c r="B13" s="8">
        <f>'2F'!B33</f>
        <v>4.605517495552127</v>
      </c>
      <c r="C13" s="7">
        <f>'2F'!C33</f>
        <v>3.7337348483343824</v>
      </c>
      <c r="D13" s="7">
        <f>'2F'!D33</f>
        <v>3.6993180485595096</v>
      </c>
      <c r="E13" s="8">
        <f>'2F'!E33</f>
        <v>3.6697519376773573</v>
      </c>
    </row>
    <row r="15" spans="1:5">
      <c r="A15" s="3" t="s">
        <v>25</v>
      </c>
      <c r="B15" s="3" t="s">
        <v>6</v>
      </c>
      <c r="C15" s="3" t="s">
        <v>9</v>
      </c>
      <c r="D15" s="3" t="s">
        <v>10</v>
      </c>
      <c r="E15" s="3" t="s">
        <v>11</v>
      </c>
    </row>
    <row r="16" spans="1:5">
      <c r="A16" s="1" t="s">
        <v>21</v>
      </c>
      <c r="B16" s="7">
        <f>'3F'!B30</f>
        <v>1.4826000000000001</v>
      </c>
      <c r="C16" s="7">
        <f>'3F'!C30</f>
        <v>2.3847</v>
      </c>
      <c r="D16" s="7">
        <f>'3F'!D30</f>
        <v>2.5599000000000003</v>
      </c>
      <c r="E16" s="7">
        <f>'3F'!E30</f>
        <v>1.9775</v>
      </c>
    </row>
    <row r="17" spans="1:8">
      <c r="A17" s="1" t="s">
        <v>17</v>
      </c>
      <c r="B17" s="8">
        <f>'3F'!B33</f>
        <v>6.6337707557617644</v>
      </c>
      <c r="C17" s="8">
        <f>'3F'!C33</f>
        <v>4.788759378676757</v>
      </c>
      <c r="D17" s="7">
        <f>'3F'!D33</f>
        <v>4.787390049875101</v>
      </c>
      <c r="E17" s="7">
        <f>'3F'!E33</f>
        <v>4.572200237895513</v>
      </c>
    </row>
    <row r="19" spans="1:8">
      <c r="A19" s="5" t="s">
        <v>26</v>
      </c>
      <c r="B19" s="5"/>
      <c r="C19" s="5"/>
      <c r="D19" s="5"/>
      <c r="E19" s="5"/>
      <c r="F19" s="5"/>
      <c r="G19" s="5"/>
      <c r="H19" s="5"/>
    </row>
    <row r="20" spans="1:8">
      <c r="A20" s="5"/>
      <c r="B20" s="5"/>
      <c r="C20" s="5"/>
      <c r="D20" s="5"/>
      <c r="E20" s="5"/>
      <c r="F20" s="5"/>
      <c r="G20" s="5"/>
      <c r="H20" s="5"/>
    </row>
    <row r="22" spans="1:8">
      <c r="A22" s="3" t="s">
        <v>27</v>
      </c>
      <c r="B22" s="3" t="s">
        <v>28</v>
      </c>
      <c r="C22" s="3" t="s">
        <v>29</v>
      </c>
      <c r="D22" s="3" t="s">
        <v>15</v>
      </c>
      <c r="E22" s="3" t="s">
        <v>30</v>
      </c>
      <c r="F22" s="3" t="s">
        <v>17</v>
      </c>
      <c r="G22" s="3" t="s">
        <v>18</v>
      </c>
    </row>
    <row r="23" spans="1:8">
      <c r="A23" s="4" t="s">
        <v>20</v>
      </c>
      <c r="B23" s="4">
        <v>0</v>
      </c>
      <c r="C23" s="7">
        <f>'F'!B30</f>
        <v>0.7343</v>
      </c>
      <c r="D23" s="6">
        <f>'F'!B31</f>
        <v>0.03283915346046546</v>
      </c>
      <c r="E23" s="8">
        <f>'F'!B31/'F'!B30*100</f>
        <v>4.472171246148095</v>
      </c>
      <c r="F23" s="8">
        <f>'F'!B33</f>
        <v>3.28556445835415</v>
      </c>
      <c r="G23" s="8">
        <f>'F'!B34</f>
        <v>0.1469360689801757</v>
      </c>
    </row>
    <row r="24" spans="1:8">
      <c r="A24" s="4" t="s">
        <v>20</v>
      </c>
      <c r="B24" s="4">
        <v>30</v>
      </c>
      <c r="C24" s="7">
        <f>'F'!C30</f>
        <v>1.0598</v>
      </c>
      <c r="D24" s="6">
        <f>'F'!C31</f>
        <v>0.0335105953393848</v>
      </c>
      <c r="E24" s="8">
        <f>'F'!C31/'F'!C30*100</f>
        <v>3.16197351758679</v>
      </c>
      <c r="F24" s="7">
        <f>'F'!C33</f>
        <v>2.927883867025187</v>
      </c>
      <c r="G24" s="7">
        <f>'F'!C34</f>
        <v>0.05952464923770046</v>
      </c>
    </row>
    <row r="25" spans="1:8">
      <c r="A25" s="4" t="s">
        <v>20</v>
      </c>
      <c r="B25" s="4">
        <v>45</v>
      </c>
      <c r="C25" s="7">
        <f>'F'!D30</f>
        <v>0.9634</v>
      </c>
      <c r="D25" s="6">
        <f>'F'!D31</f>
        <v>0.019925862591115107</v>
      </c>
      <c r="E25" s="8">
        <f>'F'!D31/'F'!D30*100</f>
        <v>2.0682855087310674</v>
      </c>
      <c r="F25" s="7">
        <f>'F'!D33</f>
        <v>2.7449585282382256</v>
      </c>
      <c r="G25" s="7">
        <f>'F'!D34</f>
        <v>0.034142138525114434</v>
      </c>
    </row>
    <row r="26" spans="1:8">
      <c r="A26" s="4" t="s">
        <v>20</v>
      </c>
      <c r="B26" s="4">
        <v>60</v>
      </c>
      <c r="C26" s="7">
        <f>'F'!E30</f>
        <v>0.7114</v>
      </c>
      <c r="D26" s="6">
        <f>'F'!E31</f>
        <v>0.024775794639123112</v>
      </c>
      <c r="E26" s="8">
        <f>'F'!E31/'F'!E30*100</f>
        <v>3.4826812818559336</v>
      </c>
      <c r="F26" s="7">
        <f>'F'!E33</f>
        <v>2.592665651504865</v>
      </c>
      <c r="G26" s="7">
        <f>'F'!E34</f>
        <v>0.05263508553587795</v>
      </c>
    </row>
    <row r="27" spans="1:8">
      <c r="A27" s="4" t="s">
        <v>23</v>
      </c>
      <c r="B27" s="4">
        <v>0</v>
      </c>
      <c r="C27" s="7">
        <f>'2F'!B30</f>
        <v>1.0293</v>
      </c>
      <c r="D27" s="6">
        <f>'2F'!B31</f>
        <v>0.024686230980042297</v>
      </c>
      <c r="E27" s="8">
        <f>'2F'!B31/'2F'!B30*100</f>
        <v>2.3983514019277465</v>
      </c>
      <c r="F27" s="8">
        <f>'2F'!B33</f>
        <v>4.605517495552127</v>
      </c>
      <c r="G27" s="8">
        <f>'2F'!B34</f>
        <v>0.1104564934206021</v>
      </c>
    </row>
    <row r="28" spans="1:8">
      <c r="A28" s="4" t="s">
        <v>23</v>
      </c>
      <c r="B28" s="4">
        <v>30</v>
      </c>
      <c r="C28" s="7">
        <f>'2F'!C30</f>
        <v>1.5645</v>
      </c>
      <c r="D28" s="6">
        <f>'2F'!C31</f>
        <v>0.05248094892434776</v>
      </c>
      <c r="E28" s="8">
        <f>'2F'!C31/'2F'!C30*100</f>
        <v>3.354486987813855</v>
      </c>
      <c r="F28" s="7">
        <f>'2F'!C33</f>
        <v>3.7337348483343824</v>
      </c>
      <c r="G28" s="7">
        <f>'2F'!C34</f>
        <v>0.075985586972493</v>
      </c>
    </row>
    <row r="29" spans="1:8">
      <c r="A29" s="4" t="s">
        <v>23</v>
      </c>
      <c r="B29" s="4">
        <v>45</v>
      </c>
      <c r="C29" s="7">
        <f>'2F'!D30</f>
        <v>1.6076000000000001</v>
      </c>
      <c r="D29" s="6">
        <f>'2F'!D31</f>
        <v>0.045697264688381464</v>
      </c>
      <c r="E29" s="8">
        <f>'2F'!D31/'2F'!D30*100</f>
        <v>2.8425768032086003</v>
      </c>
      <c r="F29" s="7">
        <f>'2F'!D33</f>
        <v>3.6993180485595096</v>
      </c>
      <c r="G29" s="7">
        <f>'2F'!D34</f>
        <v>0.059531235784008665</v>
      </c>
    </row>
    <row r="30" spans="1:8">
      <c r="A30" s="4" t="s">
        <v>23</v>
      </c>
      <c r="B30" s="4">
        <v>60</v>
      </c>
      <c r="C30" s="7">
        <f>'2F'!E30</f>
        <v>1.3166</v>
      </c>
      <c r="D30" s="6">
        <f>'2F'!E31</f>
        <v>0.07049283651549285</v>
      </c>
      <c r="E30" s="8">
        <f>'2F'!E31/'2F'!E30*100</f>
        <v>5.354157414210302</v>
      </c>
      <c r="F30" s="8">
        <f>'2F'!E33</f>
        <v>3.6697519376773573</v>
      </c>
      <c r="G30" s="8">
        <f>'2F'!E34</f>
        <v>0.10777297601158375</v>
      </c>
    </row>
    <row r="31" spans="1:8">
      <c r="A31" s="4" t="s">
        <v>25</v>
      </c>
      <c r="B31" s="4">
        <v>0</v>
      </c>
      <c r="C31" s="7">
        <f>'3F'!B30</f>
        <v>1.4826000000000001</v>
      </c>
      <c r="D31" s="6">
        <f>'3F'!B31</f>
        <v>0.047356520142426084</v>
      </c>
      <c r="E31" s="8">
        <f>'3F'!B31/'3F'!B30*100</f>
        <v>3.1941535237033643</v>
      </c>
      <c r="F31" s="8">
        <f>'3F'!B33</f>
        <v>6.6337707557617644</v>
      </c>
      <c r="G31" s="8">
        <f>'3F'!B34</f>
        <v>0.21189282234956772</v>
      </c>
    </row>
    <row r="32" spans="1:8">
      <c r="A32" s="4" t="s">
        <v>25</v>
      </c>
      <c r="B32" s="4">
        <v>30</v>
      </c>
      <c r="C32" s="7">
        <f>'3F'!C30</f>
        <v>2.3847</v>
      </c>
      <c r="D32" s="6">
        <f>'3F'!C31</f>
        <v>0.09226597422668882</v>
      </c>
      <c r="E32" s="8">
        <f>'3F'!C31/'3F'!C30*100</f>
        <v>3.8690809840520326</v>
      </c>
      <c r="F32" s="8">
        <f>'3F'!C33</f>
        <v>4.788759378676757</v>
      </c>
      <c r="G32" s="8">
        <f>'3F'!C34</f>
        <v>0.10663532170725443</v>
      </c>
    </row>
    <row r="33" spans="1:8">
      <c r="A33" s="4" t="s">
        <v>25</v>
      </c>
      <c r="B33" s="4">
        <v>45</v>
      </c>
      <c r="C33" s="7">
        <f>'3F'!D30</f>
        <v>2.5599000000000003</v>
      </c>
      <c r="D33" s="6">
        <f>'3F'!D31</f>
        <v>0.05436441851063979</v>
      </c>
      <c r="E33" s="8">
        <f>'3F'!D31/'3F'!D30*100</f>
        <v>2.123693054831821</v>
      </c>
      <c r="F33" s="7">
        <f>'3F'!D33</f>
        <v>4.787390049875101</v>
      </c>
      <c r="G33" s="7">
        <f>'3F'!D34</f>
        <v>0.055275003840344956</v>
      </c>
    </row>
    <row r="34" spans="1:8">
      <c r="A34" s="4" t="s">
        <v>25</v>
      </c>
      <c r="B34" s="4">
        <v>60</v>
      </c>
      <c r="C34" s="7">
        <f>'3F'!E30</f>
        <v>1.9775</v>
      </c>
      <c r="D34" s="6">
        <f>'3F'!E31</f>
        <v>0.045734560236215194</v>
      </c>
      <c r="E34" s="8">
        <f>'3F'!E31/'3F'!E30*100</f>
        <v>2.3127464089110084</v>
      </c>
      <c r="F34" s="7">
        <f>'3F'!E33</f>
        <v>4.572200237895513</v>
      </c>
      <c r="G34" s="7">
        <f>'3F'!E34</f>
        <v>0.05640115497567409</v>
      </c>
    </row>
    <row r="36" spans="1:8">
      <c r="A36" s="5" t="s">
        <v>31</v>
      </c>
      <c r="B36" s="5"/>
      <c r="C36" s="5"/>
      <c r="D36" s="5"/>
      <c r="E36" s="5"/>
      <c r="F36" s="5"/>
      <c r="G36" s="5"/>
      <c r="H36" s="5"/>
    </row>
    <row r="37" spans="1:8">
      <c r="A37" s="5"/>
      <c r="B37" s="5"/>
      <c r="C37" s="5"/>
      <c r="D37" s="5"/>
      <c r="E37" s="5"/>
      <c r="F37" s="5"/>
      <c r="G37" s="5"/>
      <c r="H37" s="5"/>
    </row>
    <row r="38" spans="1:8">
      <c r="A38" s="5"/>
      <c r="B38" s="5"/>
      <c r="C38" s="5"/>
      <c r="D38" s="5"/>
      <c r="E38" s="5"/>
      <c r="F38" s="5"/>
      <c r="G38" s="5"/>
      <c r="H38" s="5"/>
    </row>
  </sheetData>
  <mergeCells count="3">
    <mergeCell ref="A1:E1"/>
    <mergeCell ref="A19:H20"/>
    <mergeCell ref="A36:H38"/>
  </mergeCells>
  <dataValidations count="1">
    <dataValidation type="decimal" operator="greaterThan" allowBlank="1" showInputMessage="1" showErrorMessage="1" sqref="B3:B4">
      <formula1>0</formula1>
    </dataValidation>
  </dataValidations>
  <pageMargins left="0.3" right="0.3" top="0.3" bottom="0.3" header="0.3" footer="0.3"/>
  <pageSetup paperSize="9" orientation="landscape"/>
  <headerFooter>
    <oddFooter>&amp;C&amp;P / 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</vt:lpstr>
      <vt:lpstr>2F</vt:lpstr>
      <vt:lpstr>3F</vt:lpstr>
      <vt:lpstr>Összesítés</vt:lpstr>
      <vt:lpstr>'2F'!Print_Area</vt:lpstr>
      <vt:lpstr>'3F'!Print_Area</vt:lpstr>
      <vt:lpstr>F!Print_Area</vt:lpstr>
      <vt:lpstr>Összesítés!Print_Area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2026-10-15T14:19:02Z</dcterms:created>
  <dcterms:modified xsi:type="dcterms:W3CDTF">2026-10-15T14:19:02Z</dcterms:modified>
</cp:coreProperties>
</file>